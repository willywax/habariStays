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el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b val="1"/>
      <color rgb="00FFFFFF"/>
      <sz val="10"/>
    </font>
    <font>
      <name val="Arial"/>
      <sz val="9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AFCFF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1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0" customWidth="1" min="2" max="2"/>
    <col width="40" customWidth="1" min="3" max="3"/>
    <col width="18" customWidth="1" min="4" max="4"/>
    <col width="35" customWidth="1" min="5" max="5"/>
    <col width="7" customWidth="1" min="6" max="6"/>
    <col width="10" customWidth="1" min="7" max="7"/>
    <col width="11" customWidth="1" min="8" max="8"/>
    <col width="14" customWidth="1" min="9" max="9"/>
    <col width="11" customWidth="1" min="10" max="10"/>
    <col width="11" customWidth="1" min="11" max="11"/>
    <col width="28" customWidth="1" min="12" max="12"/>
    <col width="38" customWidth="1" min="13" max="13"/>
    <col width="38" customWidth="1" min="14" max="14"/>
    <col width="30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30" customWidth="1" min="21" max="21"/>
    <col width="42" customWidth="1" min="22" max="22"/>
    <col width="42" customWidth="1" min="23" max="23"/>
    <col width="42" customWidth="1" min="24" max="24"/>
    <col width="42" customWidth="1" min="25" max="25"/>
    <col width="42" customWidth="1" min="26" max="26"/>
    <col width="30" customWidth="1" min="27" max="27"/>
    <col width="42" customWidth="1" min="28" max="28"/>
    <col width="42" customWidth="1" min="29" max="29"/>
    <col width="42" customWidth="1" min="30" max="30"/>
    <col width="42" customWidth="1" min="31" max="31"/>
    <col width="42" customWidth="1" min="32" max="32"/>
  </cols>
  <sheetData>
    <row r="1" ht="30" customHeight="1">
      <c r="A1" s="1" t="inlineStr">
        <is>
          <t>Hotel Research — hotels in Dodoma, Tanzania</t>
        </is>
      </c>
    </row>
    <row r="2" ht="22" customHeight="1">
      <c r="A2" s="2" t="inlineStr">
        <is>
          <t>#</t>
        </is>
      </c>
      <c r="B2" s="2" t="inlineStr">
        <is>
          <t>Name</t>
        </is>
      </c>
      <c r="C2" s="2" t="inlineStr">
        <is>
          <t>Address</t>
        </is>
      </c>
      <c r="D2" s="2" t="inlineStr">
        <is>
          <t>Phone</t>
        </is>
      </c>
      <c r="E2" s="2" t="inlineStr">
        <is>
          <t>Website</t>
        </is>
      </c>
      <c r="F2" s="2" t="inlineStr">
        <is>
          <t>Rating</t>
        </is>
      </c>
      <c r="G2" s="2" t="inlineStr">
        <is>
          <t># Reviews</t>
        </is>
      </c>
      <c r="H2" s="2" t="inlineStr">
        <is>
          <t>Price Level</t>
        </is>
      </c>
      <c r="I2" s="2" t="inlineStr">
        <is>
          <t>Status</t>
        </is>
      </c>
      <c r="J2" s="2" t="inlineStr">
        <is>
          <t>Latitude</t>
        </is>
      </c>
      <c r="K2" s="2" t="inlineStr">
        <is>
          <t>Longitude</t>
        </is>
      </c>
      <c r="L2" s="2" t="inlineStr">
        <is>
          <t>Types</t>
        </is>
      </c>
      <c r="M2" s="2" t="inlineStr">
        <is>
          <t>Summary</t>
        </is>
      </c>
      <c r="N2" s="2" t="inlineStr">
        <is>
          <t>Google Maps URL</t>
        </is>
      </c>
      <c r="O2" s="3" t="inlineStr">
        <is>
          <t>P1 · Local Path</t>
        </is>
      </c>
      <c r="P2" s="3" t="inlineStr">
        <is>
          <t>P1 · Original (Cloudinary)</t>
        </is>
      </c>
      <c r="Q2" s="3" t="inlineStr">
        <is>
          <t>P1 · Thumb  320px</t>
        </is>
      </c>
      <c r="R2" s="3" t="inlineStr">
        <is>
          <t>P1 · Mobile 640px</t>
        </is>
      </c>
      <c r="S2" s="3" t="inlineStr">
        <is>
          <t>P1 · Web   1280px</t>
        </is>
      </c>
      <c r="T2" s="3" t="inlineStr">
        <is>
          <t>P1 · HD    1920px</t>
        </is>
      </c>
      <c r="U2" s="3" t="inlineStr">
        <is>
          <t>P2 · Local Path</t>
        </is>
      </c>
      <c r="V2" s="3" t="inlineStr">
        <is>
          <t>P2 · Original (Cloudinary)</t>
        </is>
      </c>
      <c r="W2" s="3" t="inlineStr">
        <is>
          <t>P2 · Thumb  320px</t>
        </is>
      </c>
      <c r="X2" s="3" t="inlineStr">
        <is>
          <t>P2 · Mobile 640px</t>
        </is>
      </c>
      <c r="Y2" s="3" t="inlineStr">
        <is>
          <t>P2 · Web   1280px</t>
        </is>
      </c>
      <c r="Z2" s="3" t="inlineStr">
        <is>
          <t>P2 · HD    1920px</t>
        </is>
      </c>
      <c r="AA2" s="3" t="inlineStr">
        <is>
          <t>P3 · Local Path</t>
        </is>
      </c>
      <c r="AB2" s="3" t="inlineStr">
        <is>
          <t>P3 · Original (Cloudinary)</t>
        </is>
      </c>
      <c r="AC2" s="3" t="inlineStr">
        <is>
          <t>P3 · Thumb  320px</t>
        </is>
      </c>
      <c r="AD2" s="3" t="inlineStr">
        <is>
          <t>P3 · Mobile 640px</t>
        </is>
      </c>
      <c r="AE2" s="3" t="inlineStr">
        <is>
          <t>P3 · Web   1280px</t>
        </is>
      </c>
      <c r="AF2" s="3" t="inlineStr">
        <is>
          <t>P3 · HD    1920px</t>
        </is>
      </c>
    </row>
    <row r="3" ht="55" customHeight="1">
      <c r="A3" s="4" t="n">
        <v>1</v>
      </c>
      <c r="B3" s="5" t="inlineStr">
        <is>
          <t>Best Western Dodoma City Hotel</t>
        </is>
      </c>
      <c r="C3" s="5" t="inlineStr">
        <is>
          <t>Block A, Plot No. 283 Kuu Street, Dodoma, Tanzania</t>
        </is>
      </c>
      <c r="D3" s="5" t="inlineStr">
        <is>
          <t>0745 617 785</t>
        </is>
      </c>
      <c r="E3" s="5" t="inlineStr">
        <is>
          <t>https://www.bestwesterndodoma.co.tz/</t>
        </is>
      </c>
      <c r="F3" s="4" t="n">
        <v>4.5</v>
      </c>
      <c r="G3" s="4" t="n">
        <v>283</v>
      </c>
      <c r="H3" s="4" t="inlineStr">
        <is>
          <t>N/A</t>
        </is>
      </c>
      <c r="I3" s="5" t="inlineStr">
        <is>
          <t>Operational</t>
        </is>
      </c>
      <c r="J3" s="4" t="n">
        <v>-6.1768611</v>
      </c>
      <c r="K3" s="4" t="n">
        <v>35.7471801</v>
      </c>
      <c r="L3" s="5" t="inlineStr">
        <is>
          <t>Establishment, Point Of Interest</t>
        </is>
      </c>
      <c r="M3" s="5" t="inlineStr">
        <is>
          <t>Informal hotel featuring warmly furnished quarters, plus an infinity pool, a restaurant &amp; a gym.</t>
        </is>
      </c>
      <c r="N3" s="5" t="inlineStr">
        <is>
          <t>https://maps.google.com/?cid=15298223479284061671</t>
        </is>
      </c>
      <c r="O3" s="5" t="inlineStr">
        <is>
          <t>hotel_photos_places_dodoma\Best Western Dodoma City Hotel_photo1.jpg</t>
        </is>
      </c>
      <c r="P3" s="5" t="inlineStr">
        <is>
          <t>https://res.cloudinary.com/diupey6vs/image/upload/v1772207426/hotel_research/google_places/Best_Western_Dodoma_City_Hotel_photo1.jpg</t>
        </is>
      </c>
      <c r="Q3" s="5" t="inlineStr">
        <is>
          <t>https://res.cloudinary.com/diupey6vs/image/upload/c_fill,f_auto,g_auto,h_213,q_auto:good,w_320/v1/hotel_research/google_places/Best_Western_Dodoma_City_Hotel_photo1</t>
        </is>
      </c>
      <c r="R3" s="5" t="inlineStr">
        <is>
          <t>https://res.cloudinary.com/diupey6vs/image/upload/c_limit,f_auto,h_427,q_auto:good,w_640/v1/hotel_research/google_places/Best_Western_Dodoma_City_Hotel_photo1</t>
        </is>
      </c>
      <c r="S3" s="5" t="inlineStr">
        <is>
          <t>https://res.cloudinary.com/diupey6vs/image/upload/c_limit,f_auto,h_854,q_auto:best,w_1280/v1/hotel_research/google_places/Best_Western_Dodoma_City_Hotel_photo1</t>
        </is>
      </c>
      <c r="T3" s="5" t="inlineStr">
        <is>
          <t>https://res.cloudinary.com/diupey6vs/image/upload/c_limit,f_auto,h_1280,q_auto:best,w_1920/v1/hotel_research/google_places/Best_Western_Dodoma_City_Hotel_photo1</t>
        </is>
      </c>
      <c r="U3" s="5" t="inlineStr">
        <is>
          <t>hotel_photos_places_dodoma\Best Western Dodoma City Hotel_photo2.jpg</t>
        </is>
      </c>
      <c r="V3" s="5" t="inlineStr">
        <is>
          <t>https://res.cloudinary.com/diupey6vs/image/upload/v1772207456/hotel_research/google_places/Best_Western_Dodoma_City_Hotel_photo2.jpg</t>
        </is>
      </c>
      <c r="W3" s="5" t="inlineStr">
        <is>
          <t>https://res.cloudinary.com/diupey6vs/image/upload/c_fill,f_auto,g_auto,h_213,q_auto:good,w_320/v1/hotel_research/google_places/Best_Western_Dodoma_City_Hotel_photo2</t>
        </is>
      </c>
      <c r="X3" s="5" t="inlineStr">
        <is>
          <t>https://res.cloudinary.com/diupey6vs/image/upload/c_limit,f_auto,h_427,q_auto:good,w_640/v1/hotel_research/google_places/Best_Western_Dodoma_City_Hotel_photo2</t>
        </is>
      </c>
      <c r="Y3" s="5" t="inlineStr">
        <is>
          <t>https://res.cloudinary.com/diupey6vs/image/upload/c_limit,f_auto,h_854,q_auto:best,w_1280/v1/hotel_research/google_places/Best_Western_Dodoma_City_Hotel_photo2</t>
        </is>
      </c>
      <c r="Z3" s="5" t="inlineStr">
        <is>
          <t>https://res.cloudinary.com/diupey6vs/image/upload/c_limit,f_auto,h_1280,q_auto:best,w_1920/v1/hotel_research/google_places/Best_Western_Dodoma_City_Hotel_photo2</t>
        </is>
      </c>
      <c r="AA3" s="5" t="inlineStr">
        <is>
          <t>hotel_photos_places_dodoma\Best Western Dodoma City Hotel_photo3.jpg</t>
        </is>
      </c>
      <c r="AB3" s="5" t="inlineStr">
        <is>
          <t>https://res.cloudinary.com/diupey6vs/image/upload/v1772207469/hotel_research/google_places/Best_Western_Dodoma_City_Hotel_photo3.jpg</t>
        </is>
      </c>
      <c r="AC3" s="5" t="inlineStr">
        <is>
          <t>https://res.cloudinary.com/diupey6vs/image/upload/c_fill,f_auto,g_auto,h_213,q_auto:good,w_320/v1/hotel_research/google_places/Best_Western_Dodoma_City_Hotel_photo3</t>
        </is>
      </c>
      <c r="AD3" s="5" t="inlineStr">
        <is>
          <t>https://res.cloudinary.com/diupey6vs/image/upload/c_limit,f_auto,h_427,q_auto:good,w_640/v1/hotel_research/google_places/Best_Western_Dodoma_City_Hotel_photo3</t>
        </is>
      </c>
      <c r="AE3" s="5" t="inlineStr">
        <is>
          <t>https://res.cloudinary.com/diupey6vs/image/upload/c_limit,f_auto,h_854,q_auto:best,w_1280/v1/hotel_research/google_places/Best_Western_Dodoma_City_Hotel_photo3</t>
        </is>
      </c>
      <c r="AF3" s="5" t="inlineStr">
        <is>
          <t>https://res.cloudinary.com/diupey6vs/image/upload/c_limit,f_auto,h_1280,q_auto:best,w_1920/v1/hotel_research/google_places/Best_Western_Dodoma_City_Hotel_photo3</t>
        </is>
      </c>
    </row>
    <row r="4" ht="55" customHeight="1">
      <c r="A4" s="6" t="n">
        <v>2</v>
      </c>
      <c r="B4" s="7" t="inlineStr">
        <is>
          <t>Spring Hills Hotel Dodoma</t>
        </is>
      </c>
      <c r="C4" s="7" t="inlineStr">
        <is>
          <t>Makole, Dodoma, Tanzania</t>
        </is>
      </c>
      <c r="D4" s="7" t="inlineStr">
        <is>
          <t>0745 044 031</t>
        </is>
      </c>
      <c r="E4" s="7" t="inlineStr">
        <is>
          <t>http://springhillshoteldodoma.com/</t>
        </is>
      </c>
      <c r="F4" s="6" t="n">
        <v>4.5</v>
      </c>
      <c r="G4" s="6" t="n">
        <v>155</v>
      </c>
      <c r="H4" s="6" t="inlineStr">
        <is>
          <t>N/A</t>
        </is>
      </c>
      <c r="I4" s="7" t="inlineStr">
        <is>
          <t>Operational</t>
        </is>
      </c>
      <c r="J4" s="6" t="n">
        <v>-6.1729115</v>
      </c>
      <c r="K4" s="6" t="n">
        <v>35.7615493</v>
      </c>
      <c r="L4" s="7" t="inlineStr">
        <is>
          <t>Establishment, Point Of Interest</t>
        </is>
      </c>
      <c r="M4" s="7" t="inlineStr"/>
      <c r="N4" s="7" t="inlineStr">
        <is>
          <t>https://maps.google.com/?cid=9553428208599636351</t>
        </is>
      </c>
      <c r="O4" s="7" t="inlineStr">
        <is>
          <t>hotel_photos_places_dodoma\Spring Hills Hotel Dodoma_photo1.jpg</t>
        </is>
      </c>
      <c r="P4" s="7" t="inlineStr">
        <is>
          <t>https://res.cloudinary.com/diupey6vs/image/upload/v1772207489/hotel_research/google_places/Spring_Hills_Hotel_Dodoma_photo1.jpg</t>
        </is>
      </c>
      <c r="Q4" s="7" t="inlineStr">
        <is>
          <t>https://res.cloudinary.com/diupey6vs/image/upload/c_fill,f_auto,g_auto,h_213,q_auto:good,w_320/v1/hotel_research/google_places/Spring_Hills_Hotel_Dodoma_photo1</t>
        </is>
      </c>
      <c r="R4" s="7" t="inlineStr">
        <is>
          <t>https://res.cloudinary.com/diupey6vs/image/upload/c_limit,f_auto,h_427,q_auto:good,w_640/v1/hotel_research/google_places/Spring_Hills_Hotel_Dodoma_photo1</t>
        </is>
      </c>
      <c r="S4" s="7" t="inlineStr">
        <is>
          <t>https://res.cloudinary.com/diupey6vs/image/upload/c_limit,f_auto,h_854,q_auto:best,w_1280/v1/hotel_research/google_places/Spring_Hills_Hotel_Dodoma_photo1</t>
        </is>
      </c>
      <c r="T4" s="7" t="inlineStr">
        <is>
          <t>https://res.cloudinary.com/diupey6vs/image/upload/c_limit,f_auto,h_1280,q_auto:best,w_1920/v1/hotel_research/google_places/Spring_Hills_Hotel_Dodoma_photo1</t>
        </is>
      </c>
      <c r="U4" s="7" t="inlineStr">
        <is>
          <t>hotel_photos_places_dodoma\Spring Hills Hotel Dodoma_photo2.jpg</t>
        </is>
      </c>
      <c r="V4" s="7" t="inlineStr">
        <is>
          <t>https://res.cloudinary.com/diupey6vs/image/upload/v1772207504/hotel_research/google_places/Spring_Hills_Hotel_Dodoma_photo2.jpg</t>
        </is>
      </c>
      <c r="W4" s="7" t="inlineStr">
        <is>
          <t>https://res.cloudinary.com/diupey6vs/image/upload/c_fill,f_auto,g_auto,h_213,q_auto:good,w_320/v1/hotel_research/google_places/Spring_Hills_Hotel_Dodoma_photo2</t>
        </is>
      </c>
      <c r="X4" s="7" t="inlineStr">
        <is>
          <t>https://res.cloudinary.com/diupey6vs/image/upload/c_limit,f_auto,h_427,q_auto:good,w_640/v1/hotel_research/google_places/Spring_Hills_Hotel_Dodoma_photo2</t>
        </is>
      </c>
      <c r="Y4" s="7" t="inlineStr">
        <is>
          <t>https://res.cloudinary.com/diupey6vs/image/upload/c_limit,f_auto,h_854,q_auto:best,w_1280/v1/hotel_research/google_places/Spring_Hills_Hotel_Dodoma_photo2</t>
        </is>
      </c>
      <c r="Z4" s="7" t="inlineStr">
        <is>
          <t>https://res.cloudinary.com/diupey6vs/image/upload/c_limit,f_auto,h_1280,q_auto:best,w_1920/v1/hotel_research/google_places/Spring_Hills_Hotel_Dodoma_photo2</t>
        </is>
      </c>
      <c r="AA4" s="7" t="inlineStr">
        <is>
          <t>hotel_photos_places_dodoma\Spring Hills Hotel Dodoma_photo3.jpg</t>
        </is>
      </c>
      <c r="AB4" s="7" t="inlineStr">
        <is>
          <t>https://res.cloudinary.com/diupey6vs/image/upload/v1772207521/hotel_research/google_places/Spring_Hills_Hotel_Dodoma_photo3.jpg</t>
        </is>
      </c>
      <c r="AC4" s="7" t="inlineStr">
        <is>
          <t>https://res.cloudinary.com/diupey6vs/image/upload/c_fill,f_auto,g_auto,h_213,q_auto:good,w_320/v1/hotel_research/google_places/Spring_Hills_Hotel_Dodoma_photo3</t>
        </is>
      </c>
      <c r="AD4" s="7" t="inlineStr">
        <is>
          <t>https://res.cloudinary.com/diupey6vs/image/upload/c_limit,f_auto,h_427,q_auto:good,w_640/v1/hotel_research/google_places/Spring_Hills_Hotel_Dodoma_photo3</t>
        </is>
      </c>
      <c r="AE4" s="7" t="inlineStr">
        <is>
          <t>https://res.cloudinary.com/diupey6vs/image/upload/c_limit,f_auto,h_854,q_auto:best,w_1280/v1/hotel_research/google_places/Spring_Hills_Hotel_Dodoma_photo3</t>
        </is>
      </c>
      <c r="AF4" s="7" t="inlineStr">
        <is>
          <t>https://res.cloudinary.com/diupey6vs/image/upload/c_limit,f_auto,h_1280,q_auto:best,w_1920/v1/hotel_research/google_places/Spring_Hills_Hotel_Dodoma_photo3</t>
        </is>
      </c>
    </row>
    <row r="5" ht="55" customHeight="1">
      <c r="A5" s="4" t="n">
        <v>3</v>
      </c>
      <c r="B5" s="5" t="inlineStr">
        <is>
          <t>Ellyn Executive Lodge</t>
        </is>
      </c>
      <c r="C5" s="5" t="inlineStr">
        <is>
          <t>VQJ2+R8, Dodoma, Tanzania</t>
        </is>
      </c>
      <c r="D5" s="5" t="inlineStr">
        <is>
          <t>0747 272 810</t>
        </is>
      </c>
      <c r="E5" s="5" t="inlineStr"/>
      <c r="F5" s="4" t="n">
        <v>4.3</v>
      </c>
      <c r="G5" s="4" t="n">
        <v>36</v>
      </c>
      <c r="H5" s="4" t="inlineStr">
        <is>
          <t>N/A</t>
        </is>
      </c>
      <c r="I5" s="5" t="inlineStr">
        <is>
          <t>Operational</t>
        </is>
      </c>
      <c r="J5" s="4" t="n">
        <v>-6.117928</v>
      </c>
      <c r="K5" s="4" t="n">
        <v>35.7507693</v>
      </c>
      <c r="L5" s="5" t="inlineStr">
        <is>
          <t>Establishment, Point Of Interest</t>
        </is>
      </c>
      <c r="M5" s="5" t="inlineStr"/>
      <c r="N5" s="5" t="inlineStr">
        <is>
          <t>https://maps.google.com/?cid=5263243793507953459</t>
        </is>
      </c>
      <c r="O5" s="5" t="inlineStr">
        <is>
          <t>hotel_photos_places_dodoma\Ellyn Executive Lodge_photo1.jpg</t>
        </is>
      </c>
      <c r="P5" s="5" t="inlineStr">
        <is>
          <t>https://res.cloudinary.com/diupey6vs/image/upload/v1772207547/hotel_research/google_places/Ellyn_Executive_Lodge_photo1.jpg</t>
        </is>
      </c>
      <c r="Q5" s="5" t="inlineStr">
        <is>
          <t>https://res.cloudinary.com/diupey6vs/image/upload/c_fill,f_auto,g_auto,h_213,q_auto:good,w_320/v1/hotel_research/google_places/Ellyn_Executive_Lodge_photo1</t>
        </is>
      </c>
      <c r="R5" s="5" t="inlineStr">
        <is>
          <t>https://res.cloudinary.com/diupey6vs/image/upload/c_limit,f_auto,h_427,q_auto:good,w_640/v1/hotel_research/google_places/Ellyn_Executive_Lodge_photo1</t>
        </is>
      </c>
      <c r="S5" s="5" t="inlineStr">
        <is>
          <t>https://res.cloudinary.com/diupey6vs/image/upload/c_limit,f_auto,h_854,q_auto:best,w_1280/v1/hotel_research/google_places/Ellyn_Executive_Lodge_photo1</t>
        </is>
      </c>
      <c r="T5" s="5" t="inlineStr">
        <is>
          <t>https://res.cloudinary.com/diupey6vs/image/upload/c_limit,f_auto,h_1280,q_auto:best,w_1920/v1/hotel_research/google_places/Ellyn_Executive_Lodge_photo1</t>
        </is>
      </c>
      <c r="U5" s="5" t="inlineStr">
        <is>
          <t>hotel_photos_places_dodoma\Ellyn Executive Lodge_photo2.jpg</t>
        </is>
      </c>
      <c r="V5" s="5" t="inlineStr">
        <is>
          <t>https://res.cloudinary.com/diupey6vs/image/upload/v1772207562/hotel_research/google_places/Ellyn_Executive_Lodge_photo2.jpg</t>
        </is>
      </c>
      <c r="W5" s="5" t="inlineStr">
        <is>
          <t>https://res.cloudinary.com/diupey6vs/image/upload/c_fill,f_auto,g_auto,h_213,q_auto:good,w_320/v1/hotel_research/google_places/Ellyn_Executive_Lodge_photo2</t>
        </is>
      </c>
      <c r="X5" s="5" t="inlineStr">
        <is>
          <t>https://res.cloudinary.com/diupey6vs/image/upload/c_limit,f_auto,h_427,q_auto:good,w_640/v1/hotel_research/google_places/Ellyn_Executive_Lodge_photo2</t>
        </is>
      </c>
      <c r="Y5" s="5" t="inlineStr">
        <is>
          <t>https://res.cloudinary.com/diupey6vs/image/upload/c_limit,f_auto,h_854,q_auto:best,w_1280/v1/hotel_research/google_places/Ellyn_Executive_Lodge_photo2</t>
        </is>
      </c>
      <c r="Z5" s="5" t="inlineStr">
        <is>
          <t>https://res.cloudinary.com/diupey6vs/image/upload/c_limit,f_auto,h_1280,q_auto:best,w_1920/v1/hotel_research/google_places/Ellyn_Executive_Lodge_photo2</t>
        </is>
      </c>
      <c r="AA5" s="5" t="inlineStr">
        <is>
          <t>hotel_photos_places_dodoma\Ellyn Executive Lodge_photo3.jpg</t>
        </is>
      </c>
      <c r="AB5" s="5" t="inlineStr">
        <is>
          <t>https://res.cloudinary.com/diupey6vs/image/upload/v1772207584/hotel_research/google_places/Ellyn_Executive_Lodge_photo3.jpg</t>
        </is>
      </c>
      <c r="AC5" s="5" t="inlineStr">
        <is>
          <t>https://res.cloudinary.com/diupey6vs/image/upload/c_fill,f_auto,g_auto,h_213,q_auto:good,w_320/v1/hotel_research/google_places/Ellyn_Executive_Lodge_photo3</t>
        </is>
      </c>
      <c r="AD5" s="5" t="inlineStr">
        <is>
          <t>https://res.cloudinary.com/diupey6vs/image/upload/c_limit,f_auto,h_427,q_auto:good,w_640/v1/hotel_research/google_places/Ellyn_Executive_Lodge_photo3</t>
        </is>
      </c>
      <c r="AE5" s="5" t="inlineStr">
        <is>
          <t>https://res.cloudinary.com/diupey6vs/image/upload/c_limit,f_auto,h_854,q_auto:best,w_1280/v1/hotel_research/google_places/Ellyn_Executive_Lodge_photo3</t>
        </is>
      </c>
      <c r="AF5" s="5" t="inlineStr">
        <is>
          <t>https://res.cloudinary.com/diupey6vs/image/upload/c_limit,f_auto,h_1280,q_auto:best,w_1920/v1/hotel_research/google_places/Ellyn_Executive_Lodge_photo3</t>
        </is>
      </c>
    </row>
    <row r="6" ht="55" customHeight="1">
      <c r="A6" s="6" t="n">
        <v>4</v>
      </c>
      <c r="B6" s="7" t="inlineStr">
        <is>
          <t>Gerwill Hotel</t>
        </is>
      </c>
      <c r="C6" s="7" t="inlineStr">
        <is>
          <t>Plot No. 23 &amp; 24, Area D, Dodoma 41719, Tanzania</t>
        </is>
      </c>
      <c r="D6" s="7" t="inlineStr">
        <is>
          <t>0747 002 006</t>
        </is>
      </c>
      <c r="E6" s="7" t="inlineStr">
        <is>
          <t>http://www.gerwillhotel.com/</t>
        </is>
      </c>
      <c r="F6" s="6" t="n">
        <v>4.5</v>
      </c>
      <c r="G6" s="6" t="n">
        <v>102</v>
      </c>
      <c r="H6" s="6" t="inlineStr">
        <is>
          <t>N/A</t>
        </is>
      </c>
      <c r="I6" s="7" t="inlineStr">
        <is>
          <t>Operational</t>
        </is>
      </c>
      <c r="J6" s="6" t="n">
        <v>-6.1609837</v>
      </c>
      <c r="K6" s="6" t="n">
        <v>35.7602264</v>
      </c>
      <c r="L6" s="7" t="inlineStr">
        <is>
          <t>Establishment, Point Of Interest</t>
        </is>
      </c>
      <c r="M6" s="7" t="inlineStr"/>
      <c r="N6" s="7" t="inlineStr">
        <is>
          <t>https://maps.google.com/?cid=8835972186209677091</t>
        </is>
      </c>
      <c r="O6" s="7" t="inlineStr">
        <is>
          <t>hotel_photos_places_dodoma\Gerwill Hotel_photo1.jpg</t>
        </is>
      </c>
      <c r="P6" s="7" t="inlineStr">
        <is>
          <t>https://res.cloudinary.com/diupey6vs/image/upload/v1772207778/hotel_research/google_places/Gerwill_Hotel_photo1.jpg</t>
        </is>
      </c>
      <c r="Q6" s="7" t="inlineStr">
        <is>
          <t>https://res.cloudinary.com/diupey6vs/image/upload/c_fill,f_auto,g_auto,h_213,q_auto:good,w_320/v1/hotel_research/google_places/Gerwill_Hotel_photo1</t>
        </is>
      </c>
      <c r="R6" s="7" t="inlineStr">
        <is>
          <t>https://res.cloudinary.com/diupey6vs/image/upload/c_limit,f_auto,h_427,q_auto:good,w_640/v1/hotel_research/google_places/Gerwill_Hotel_photo1</t>
        </is>
      </c>
      <c r="S6" s="7" t="inlineStr">
        <is>
          <t>https://res.cloudinary.com/diupey6vs/image/upload/c_limit,f_auto,h_854,q_auto:best,w_1280/v1/hotel_research/google_places/Gerwill_Hotel_photo1</t>
        </is>
      </c>
      <c r="T6" s="7" t="inlineStr">
        <is>
          <t>https://res.cloudinary.com/diupey6vs/image/upload/c_limit,f_auto,h_1280,q_auto:best,w_1920/v1/hotel_research/google_places/Gerwill_Hotel_photo1</t>
        </is>
      </c>
      <c r="U6" s="7" t="inlineStr">
        <is>
          <t>hotel_photos_places_dodoma\Gerwill Hotel_photo2.jpg</t>
        </is>
      </c>
      <c r="V6" s="7" t="inlineStr">
        <is>
          <t>https://res.cloudinary.com/diupey6vs/image/upload/v1772207792/hotel_research/google_places/Gerwill_Hotel_photo2.jpg</t>
        </is>
      </c>
      <c r="W6" s="7" t="inlineStr">
        <is>
          <t>https://res.cloudinary.com/diupey6vs/image/upload/c_fill,f_auto,g_auto,h_213,q_auto:good,w_320/v1/hotel_research/google_places/Gerwill_Hotel_photo2</t>
        </is>
      </c>
      <c r="X6" s="7" t="inlineStr">
        <is>
          <t>https://res.cloudinary.com/diupey6vs/image/upload/c_limit,f_auto,h_427,q_auto:good,w_640/v1/hotel_research/google_places/Gerwill_Hotel_photo2</t>
        </is>
      </c>
      <c r="Y6" s="7" t="inlineStr">
        <is>
          <t>https://res.cloudinary.com/diupey6vs/image/upload/c_limit,f_auto,h_854,q_auto:best,w_1280/v1/hotel_research/google_places/Gerwill_Hotel_photo2</t>
        </is>
      </c>
      <c r="Z6" s="7" t="inlineStr">
        <is>
          <t>https://res.cloudinary.com/diupey6vs/image/upload/c_limit,f_auto,h_1280,q_auto:best,w_1920/v1/hotel_research/google_places/Gerwill_Hotel_photo2</t>
        </is>
      </c>
      <c r="AA6" s="7" t="inlineStr">
        <is>
          <t>hotel_photos_places_dodoma\Gerwill Hotel_photo3.jpg</t>
        </is>
      </c>
      <c r="AB6" s="7" t="inlineStr">
        <is>
          <t>https://res.cloudinary.com/diupey6vs/image/upload/v1772207813/hotel_research/google_places/Gerwill_Hotel_photo3.jpg</t>
        </is>
      </c>
      <c r="AC6" s="7" t="inlineStr">
        <is>
          <t>https://res.cloudinary.com/diupey6vs/image/upload/c_fill,f_auto,g_auto,h_213,q_auto:good,w_320/v1/hotel_research/google_places/Gerwill_Hotel_photo3</t>
        </is>
      </c>
      <c r="AD6" s="7" t="inlineStr">
        <is>
          <t>https://res.cloudinary.com/diupey6vs/image/upload/c_limit,f_auto,h_427,q_auto:good,w_640/v1/hotel_research/google_places/Gerwill_Hotel_photo3</t>
        </is>
      </c>
      <c r="AE6" s="7" t="inlineStr">
        <is>
          <t>https://res.cloudinary.com/diupey6vs/image/upload/c_limit,f_auto,h_854,q_auto:best,w_1280/v1/hotel_research/google_places/Gerwill_Hotel_photo3</t>
        </is>
      </c>
      <c r="AF6" s="7" t="inlineStr">
        <is>
          <t>https://res.cloudinary.com/diupey6vs/image/upload/c_limit,f_auto,h_1280,q_auto:best,w_1920/v1/hotel_research/google_places/Gerwill_Hotel_photo3</t>
        </is>
      </c>
    </row>
    <row r="7" ht="55" customHeight="1">
      <c r="A7" s="4" t="n">
        <v>5</v>
      </c>
      <c r="B7" s="5" t="inlineStr">
        <is>
          <t>Mlimwa Hill Palace</t>
        </is>
      </c>
      <c r="C7" s="5" t="inlineStr">
        <is>
          <t>Mathias Street, Dodoma 2684, Tanzania</t>
        </is>
      </c>
      <c r="D7" s="5" t="inlineStr">
        <is>
          <t>0676 309 669</t>
        </is>
      </c>
      <c r="E7" s="5" t="inlineStr"/>
      <c r="F7" s="4" t="n">
        <v>4.3</v>
      </c>
      <c r="G7" s="4" t="n">
        <v>46</v>
      </c>
      <c r="H7" s="4" t="inlineStr">
        <is>
          <t>N/A</t>
        </is>
      </c>
      <c r="I7" s="5" t="inlineStr">
        <is>
          <t>Operational</t>
        </is>
      </c>
      <c r="J7" s="4" t="n">
        <v>-6.147470500000001</v>
      </c>
      <c r="K7" s="4" t="n">
        <v>35.7675714</v>
      </c>
      <c r="L7" s="5" t="inlineStr">
        <is>
          <t>Establishment, Point Of Interest</t>
        </is>
      </c>
      <c r="M7" s="5" t="inlineStr"/>
      <c r="N7" s="5" t="inlineStr">
        <is>
          <t>https://maps.google.com/?cid=4730561811594416818</t>
        </is>
      </c>
      <c r="O7" s="5" t="inlineStr">
        <is>
          <t>hotel_photos_places_dodoma\Mlimwa Hill Palace_photo1.jpg</t>
        </is>
      </c>
      <c r="P7" s="5" t="inlineStr">
        <is>
          <t>https://res.cloudinary.com/diupey6vs/image/upload/v1772207835/hotel_research/google_places/Mlimwa_Hill_Palace_photo1.jpg</t>
        </is>
      </c>
      <c r="Q7" s="5" t="inlineStr">
        <is>
          <t>https://res.cloudinary.com/diupey6vs/image/upload/c_fill,f_auto,g_auto,h_213,q_auto:good,w_320/v1/hotel_research/google_places/Mlimwa_Hill_Palace_photo1</t>
        </is>
      </c>
      <c r="R7" s="5" t="inlineStr">
        <is>
          <t>https://res.cloudinary.com/diupey6vs/image/upload/c_limit,f_auto,h_427,q_auto:good,w_640/v1/hotel_research/google_places/Mlimwa_Hill_Palace_photo1</t>
        </is>
      </c>
      <c r="S7" s="5" t="inlineStr">
        <is>
          <t>https://res.cloudinary.com/diupey6vs/image/upload/c_limit,f_auto,h_854,q_auto:best,w_1280/v1/hotel_research/google_places/Mlimwa_Hill_Palace_photo1</t>
        </is>
      </c>
      <c r="T7" s="5" t="inlineStr">
        <is>
          <t>https://res.cloudinary.com/diupey6vs/image/upload/c_limit,f_auto,h_1280,q_auto:best,w_1920/v1/hotel_research/google_places/Mlimwa_Hill_Palace_photo1</t>
        </is>
      </c>
      <c r="U7" s="5" t="inlineStr">
        <is>
          <t>hotel_photos_places_dodoma\Mlimwa Hill Palace_photo2.jpg</t>
        </is>
      </c>
      <c r="V7" s="5" t="inlineStr">
        <is>
          <t>https://res.cloudinary.com/diupey6vs/image/upload/v1772207848/hotel_research/google_places/Mlimwa_Hill_Palace_photo2.jpg</t>
        </is>
      </c>
      <c r="W7" s="5" t="inlineStr">
        <is>
          <t>https://res.cloudinary.com/diupey6vs/image/upload/c_fill,f_auto,g_auto,h_213,q_auto:good,w_320/v1/hotel_research/google_places/Mlimwa_Hill_Palace_photo2</t>
        </is>
      </c>
      <c r="X7" s="5" t="inlineStr">
        <is>
          <t>https://res.cloudinary.com/diupey6vs/image/upload/c_limit,f_auto,h_427,q_auto:good,w_640/v1/hotel_research/google_places/Mlimwa_Hill_Palace_photo2</t>
        </is>
      </c>
      <c r="Y7" s="5" t="inlineStr">
        <is>
          <t>https://res.cloudinary.com/diupey6vs/image/upload/c_limit,f_auto,h_854,q_auto:best,w_1280/v1/hotel_research/google_places/Mlimwa_Hill_Palace_photo2</t>
        </is>
      </c>
      <c r="Z7" s="5" t="inlineStr">
        <is>
          <t>https://res.cloudinary.com/diupey6vs/image/upload/c_limit,f_auto,h_1280,q_auto:best,w_1920/v1/hotel_research/google_places/Mlimwa_Hill_Palace_photo2</t>
        </is>
      </c>
      <c r="AA7" s="5" t="inlineStr">
        <is>
          <t>hotel_photos_places_dodoma\Mlimwa Hill Palace_photo3.jpg</t>
        </is>
      </c>
      <c r="AB7" s="5" t="inlineStr">
        <is>
          <t>https://res.cloudinary.com/diupey6vs/image/upload/v1772207880/hotel_research/google_places/Mlimwa_Hill_Palace_photo3.jpg</t>
        </is>
      </c>
      <c r="AC7" s="5" t="inlineStr">
        <is>
          <t>https://res.cloudinary.com/diupey6vs/image/upload/c_fill,f_auto,g_auto,h_213,q_auto:good,w_320/v1/hotel_research/google_places/Mlimwa_Hill_Palace_photo3</t>
        </is>
      </c>
      <c r="AD7" s="5" t="inlineStr">
        <is>
          <t>https://res.cloudinary.com/diupey6vs/image/upload/c_limit,f_auto,h_427,q_auto:good,w_640/v1/hotel_research/google_places/Mlimwa_Hill_Palace_photo3</t>
        </is>
      </c>
      <c r="AE7" s="5" t="inlineStr">
        <is>
          <t>https://res.cloudinary.com/diupey6vs/image/upload/c_limit,f_auto,h_854,q_auto:best,w_1280/v1/hotel_research/google_places/Mlimwa_Hill_Palace_photo3</t>
        </is>
      </c>
      <c r="AF7" s="5" t="inlineStr">
        <is>
          <t>https://res.cloudinary.com/diupey6vs/image/upload/c_limit,f_auto,h_1280,q_auto:best,w_1920/v1/hotel_research/google_places/Mlimwa_Hill_Palace_photo3</t>
        </is>
      </c>
    </row>
  </sheetData>
  <mergeCells count="1">
    <mergeCell ref="A1:A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</cols>
  <sheetData>
    <row r="1">
      <c r="A1" s="8" t="inlineStr">
        <is>
          <t>Summary Statistics</t>
        </is>
      </c>
    </row>
    <row r="2">
      <c r="A2" s="9" t="inlineStr">
        <is>
          <t>Query</t>
        </is>
      </c>
      <c r="B2" s="10" t="inlineStr">
        <is>
          <t>hotels in Dodoma, Tanzania</t>
        </is>
      </c>
    </row>
    <row r="3">
      <c r="A3" s="9" t="inlineStr">
        <is>
          <t>Total Hotels</t>
        </is>
      </c>
      <c r="B3" s="10">
        <f>COUNTA(Hotels!B3:B7)</f>
        <v/>
      </c>
    </row>
    <row r="4">
      <c r="A4" s="9" t="inlineStr">
        <is>
          <t>Avg Rating</t>
        </is>
      </c>
      <c r="B4" s="10">
        <f>ROUND(AVERAGE(Hotels!F3:F7),2)</f>
        <v/>
      </c>
    </row>
    <row r="5">
      <c r="A5" s="9" t="inlineStr">
        <is>
          <t>Avg Reviews</t>
        </is>
      </c>
      <c r="B5" s="10">
        <f>ROUND(AVERAGE(Hotels!G3:G7),0)</f>
        <v/>
      </c>
    </row>
    <row r="6">
      <c r="A6" s="9" t="inlineStr">
        <is>
          <t>Highest Rated</t>
        </is>
      </c>
      <c r="B6" s="10">
        <f>INDEX(Hotels!B3:B7,MATCH(MAX(Hotels!F3:F7),Hotels!F3:F7,0))</f>
        <v/>
      </c>
    </row>
    <row r="7">
      <c r="A7" s="9" t="inlineStr">
        <is>
          <t>Most Reviewed</t>
        </is>
      </c>
      <c r="B7" s="10">
        <f>INDEX(Hotels!B3:B7,MATCH(MAX(Hotels!G3:G7),Hotels!G3:G7,0))</f>
        <v/>
      </c>
    </row>
    <row r="8">
      <c r="A8" s="9" t="inlineStr">
        <is>
          <t>Photos Uploaded</t>
        </is>
      </c>
      <c r="B8" s="10">
        <f>COUNTIF(Hotels!P3:P7,"https://*")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2026-02-27T15:58:04Z</dcterms:created>
  <dcterms:modified xsi:type="dcterms:W3CDTF">2026-02-27T15:58:04Z</dcterms:modified>
</cp:coreProperties>
</file>